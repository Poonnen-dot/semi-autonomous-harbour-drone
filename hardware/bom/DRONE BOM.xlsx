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<sst xmlns="http://schemas.openxmlformats.org/spreadsheetml/2006/main" count="96" uniqueCount="63">
  <si>
    <t>Product Innovation</t>
  </si>
  <si>
    <t>Tracked Bot</t>
  </si>
  <si>
    <t>Innovation Team</t>
  </si>
  <si>
    <t>Sentinels</t>
  </si>
  <si>
    <t>#</t>
  </si>
  <si>
    <t>Components</t>
  </si>
  <si>
    <t>Specifications</t>
  </si>
  <si>
    <t>Prototyping Expense (PE) Type</t>
  </si>
  <si>
    <t>Unit Price</t>
  </si>
  <si>
    <t>Qty</t>
  </si>
  <si>
    <t>Existing Inventory (Yes/No)</t>
  </si>
  <si>
    <t>Existing Inventory Cost (INR)</t>
  </si>
  <si>
    <t>New Purchase Cost (INR)</t>
  </si>
  <si>
    <t>Budgeted Expenses (Value) (INR)</t>
  </si>
  <si>
    <t>Asset Cost (INR)</t>
  </si>
  <si>
    <t>Reusable Cost (INR)</t>
  </si>
  <si>
    <t>Consumable Cost(INR)</t>
  </si>
  <si>
    <t>Actual Expenses (Cost) (INR)</t>
  </si>
  <si>
    <t>Remarks</t>
  </si>
  <si>
    <t>Product Link</t>
  </si>
  <si>
    <t>Prototype Development</t>
  </si>
  <si>
    <t>Frame</t>
  </si>
  <si>
    <t>S500 Quadcopter Frame</t>
  </si>
  <si>
    <t>Reusable</t>
  </si>
  <si>
    <t>Yes</t>
  </si>
  <si>
    <t>LINK</t>
  </si>
  <si>
    <t>Flight Controller</t>
  </si>
  <si>
    <t>Pixhawk 2.4.8</t>
  </si>
  <si>
    <t>GPS Module</t>
  </si>
  <si>
    <t>M9 GNSS</t>
  </si>
  <si>
    <t>Telemetry</t>
  </si>
  <si>
    <t>T10 433 MHz</t>
  </si>
  <si>
    <t>No</t>
  </si>
  <si>
    <t>Compute</t>
  </si>
  <si>
    <t>Raspberry Pi 5 (8GB)</t>
  </si>
  <si>
    <t>Camera</t>
  </si>
  <si>
    <t>Raspberry Pi Camera v3</t>
  </si>
  <si>
    <t>Motors</t>
  </si>
  <si>
    <t>2212 920KV Brushless</t>
  </si>
  <si>
    <t>ESC</t>
  </si>
  <si>
    <t>4-in-1 ESC</t>
  </si>
  <si>
    <t xml:space="preserve">LINK </t>
  </si>
  <si>
    <t>Propellers</t>
  </si>
  <si>
    <t>10–11 inch</t>
  </si>
  <si>
    <t>Battery</t>
  </si>
  <si>
    <t>4S LiPo 5000mAh</t>
  </si>
  <si>
    <t>Power Module</t>
  </si>
  <si>
    <t>Pixhawk PM V6</t>
  </si>
  <si>
    <t>Payload Box</t>
  </si>
  <si>
    <t>3D Printed PETG</t>
  </si>
  <si>
    <t>Total Budgeted Expenses</t>
  </si>
  <si>
    <t>Existing Inventory Utilized</t>
  </si>
  <si>
    <t>Total New Purchase Cost</t>
  </si>
  <si>
    <t>Prepared</t>
  </si>
  <si>
    <t>Reviewer 1</t>
  </si>
  <si>
    <t>Reviewer 2</t>
  </si>
  <si>
    <t>Approved</t>
  </si>
  <si>
    <t>&lt;Name&gt;</t>
  </si>
  <si>
    <t>David</t>
  </si>
  <si>
    <t>Team Visionary</t>
  </si>
  <si>
    <t>Team SPoC</t>
  </si>
  <si>
    <t>Cohort Lead</t>
  </si>
  <si>
    <t>MUP Owner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</si>
</sst>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"/>
  </numFmts>
  <fonts count="15">
    <font>
      <sz val="10.0"/>
      <color rgb="FF000000"/>
      <name val="Arial"/>
      <scheme val="minor"/>
    </font>
    <font>
      <b/>
      <color theme="1"/>
      <name val="Barlow Semi Condensed"/>
    </font>
    <font/>
    <font>
      <color theme="1"/>
      <name val="Arial"/>
    </font>
    <font>
      <b/>
      <color rgb="FFFFFFFF"/>
      <name val="Barlow Semi Condensed"/>
    </font>
    <font>
      <color theme="1"/>
      <name val="Barlow Semi Condensed"/>
    </font>
    <font>
      <sz val="11.0"/>
      <color rgb="FF000000"/>
      <name val="Calibri"/>
    </font>
    <font>
      <u/>
      <color rgb="FF0000FF"/>
      <name val="Barlow Semi Condensed"/>
    </font>
    <font>
      <u/>
      <color rgb="FF1155CC"/>
      <name val="Barlow Semi Condensed"/>
    </font>
    <font>
      <u/>
      <color rgb="FF1155CC"/>
      <name val="Barlow Semi Condensed"/>
    </font>
    <font>
      <u/>
      <color rgb="FF1155CC"/>
      <name val="Barlow Semi Condensed"/>
    </font>
    <font>
      <b/>
      <sz val="11.0"/>
      <color rgb="FFFFFFFF"/>
      <name val="Barlow Semi Condensed"/>
    </font>
    <font>
      <b/>
      <sz val="11.0"/>
      <color theme="1"/>
      <name val="Barlow Semi Condensed"/>
    </font>
    <font>
      <b/>
      <i/>
      <sz val="11.0"/>
      <color theme="1"/>
      <name val="Barlow Semi Condensed"/>
    </font>
    <font>
      <sz val="11.0"/>
      <color theme="1"/>
      <name val="Barlow Semi Condensed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2" fillId="0" fontId="2" numFmtId="0" xfId="0" applyBorder="1" applyFont="1"/>
    <xf borderId="3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3" fontId="4" numFmtId="0" xfId="0" applyAlignment="1" applyFill="1" applyFont="1">
      <alignment horizontal="center" shrinkToFit="0" wrapText="1"/>
    </xf>
    <xf borderId="0" fillId="3" fontId="4" numFmtId="164" xfId="0" applyAlignment="1" applyFont="1" applyNumberFormat="1">
      <alignment horizontal="center" shrinkToFit="0" wrapText="1"/>
    </xf>
    <xf borderId="0" fillId="3" fontId="4" numFmtId="0" xfId="0" applyAlignment="1" applyFont="1">
      <alignment horizontal="center" shrinkToFit="0" wrapText="0"/>
    </xf>
    <xf borderId="0" fillId="4" fontId="1" numFmtId="0" xfId="0" applyAlignment="1" applyFill="1" applyFont="1">
      <alignment vertical="bottom"/>
    </xf>
    <xf borderId="0" fillId="4" fontId="3" numFmtId="0" xfId="0" applyAlignment="1" applyFont="1">
      <alignment vertical="bottom"/>
    </xf>
    <xf borderId="0" fillId="4" fontId="3" numFmtId="164" xfId="0" applyAlignment="1" applyFont="1" applyNumberFormat="1">
      <alignment vertical="bottom"/>
    </xf>
    <xf borderId="0" fillId="4" fontId="1" numFmtId="3" xfId="0" applyAlignment="1" applyFont="1" applyNumberFormat="1">
      <alignment horizontal="right" shrinkToFit="0" vertical="bottom" wrapText="1"/>
    </xf>
    <xf borderId="0" fillId="4" fontId="3" numFmtId="3" xfId="0" applyAlignment="1" applyFont="1" applyNumberFormat="1">
      <alignment vertical="bottom"/>
    </xf>
    <xf borderId="0" fillId="4" fontId="3" numFmtId="0" xfId="0" applyFont="1"/>
    <xf borderId="0" fillId="0" fontId="5" numFmtId="0" xfId="0" applyAlignment="1" applyFont="1">
      <alignment horizontal="right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5" numFmtId="3" xfId="0" applyAlignment="1" applyFont="1" applyNumberFormat="1">
      <alignment horizontal="right" shrinkToFit="0" vertical="bottom" wrapText="1"/>
    </xf>
    <xf borderId="0" fillId="0" fontId="5" numFmtId="3" xfId="0" applyAlignment="1" applyFont="1" applyNumberFormat="1">
      <alignment horizontal="right" vertical="bottom"/>
    </xf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shrinkToFit="0" wrapText="0"/>
    </xf>
    <xf borderId="0" fillId="0" fontId="5" numFmtId="0" xfId="0" applyAlignment="1" applyFont="1">
      <alignment readingOrder="0" vertical="bottom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3" fontId="11" numFmtId="0" xfId="0" applyAlignment="1" applyFont="1">
      <alignment horizontal="center" shrinkToFit="0" wrapText="1"/>
    </xf>
    <xf borderId="0" fillId="0" fontId="12" numFmtId="3" xfId="0" applyAlignment="1" applyFont="1" applyNumberFormat="1">
      <alignment horizontal="right"/>
    </xf>
    <xf borderId="0" fillId="4" fontId="11" numFmtId="0" xfId="0" applyAlignment="1" applyFont="1">
      <alignment horizontal="center" shrinkToFit="0" wrapText="1"/>
    </xf>
    <xf borderId="0" fillId="0" fontId="3" numFmtId="3" xfId="0" applyFont="1" applyNumberFormat="1"/>
    <xf borderId="0" fillId="3" fontId="11" numFmtId="0" xfId="0" applyAlignment="1" applyFont="1">
      <alignment horizontal="center"/>
    </xf>
    <xf borderId="0" fillId="3" fontId="11" numFmtId="164" xfId="0" applyAlignment="1" applyFont="1" applyNumberFormat="1">
      <alignment horizontal="center"/>
    </xf>
    <xf borderId="0" fillId="0" fontId="13" numFmtId="0" xfId="0" applyAlignment="1" applyFont="1">
      <alignment horizontal="center" vertical="bottom"/>
    </xf>
    <xf borderId="0" fillId="0" fontId="12" numFmtId="164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bu.in/product/ams1117-3-3v-1a-sot-223-voltage-regulator-ic-pack-of-5-ics/" TargetMode="External"/><Relationship Id="rId10" Type="http://schemas.openxmlformats.org/officeDocument/2006/relationships/hyperlink" Target="https://robu.in/product/esp-wroom-32-mcu-module-without-ble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robu.in/product/level-converter-4-channel/" TargetMode="External"/><Relationship Id="rId1" Type="http://schemas.openxmlformats.org/officeDocument/2006/relationships/hyperlink" Target="https://evelta.com/s500-quadcopter-pcb-frame-kit-carbon-fiber-landing-gear/?srsltid=AfmBOoqTQN-ra_jBQY7TXfdzu2u3cTqlAHXOtAwXJP4-X2713-Sjaejw" TargetMode="External"/><Relationship Id="rId2" Type="http://schemas.openxmlformats.org/officeDocument/2006/relationships/hyperlink" Target="https://robu.in/product/l298-based-motor-driver-module-2a/" TargetMode="External"/><Relationship Id="rId3" Type="http://schemas.openxmlformats.org/officeDocument/2006/relationships/hyperlink" Target="https://robu.in/product/gps-glonass-gnss-antenna-for-raspberry-pi-hat-and-arduino-shield-with-3-meter-cable/" TargetMode="External"/><Relationship Id="rId4" Type="http://schemas.openxmlformats.org/officeDocument/2006/relationships/hyperlink" Target="https://robu.in/product/raspberry-pi-4-model-b-with-8-gb-ram/" TargetMode="External"/><Relationship Id="rId9" Type="http://schemas.openxmlformats.org/officeDocument/2006/relationships/hyperlink" Target="https://www.amazon.in/2600mAh-Lithium-Ion-Battery-Rechargeable-Projects/dp/B0G2H8KSX6/ref=sr_1_1_sspa?crid=1IRNWMVBQ0BCR&amp;dib=eyJ2IjoiMSJ9.3P9AFGPUw10xtfh-OXuNlyADAKEBVygLaUBUC0HRbhdlr1SSlKn1Ej3xykl6tKXlZo12cDMMNml64kraQAIyuKhqCwzj17MeSKoTFMky1Ql2aopVS-bPNUxq90KzZrf7KUU_wlrodPlGOBFWil98hS6uuDUXZ10rwaOVGNyLmSoKHdEubQfUOS3uFNOGNqfCd-Pp3COLDSIz8ao4XDvgSmBWN70HxGoAApfRbZikB30.v2aswdJnHziZ-luFrOGG41-0nXffiCcAamJe89Q6RQ0&amp;dib_tag=se&amp;keywords=Battery+%2F+Li-ion+%2F18650+%2F+3S+Pack&amp;qid=1763629868&amp;sprefix=battery+%2F+li-ion+%2F18650+%2F+3s+pack%2Caps%2C227&amp;sr=8-1-spons&amp;aref=sCePplrekm&amp;sp_csd=d2lkZ2V0TmFtZT1zcF9hdGY&amp;psc=1" TargetMode="External"/><Relationship Id="rId5" Type="http://schemas.openxmlformats.org/officeDocument/2006/relationships/hyperlink" Target="https://robu.in/product/waveshare-rpi-camera-b-adjustable-focus/" TargetMode="External"/><Relationship Id="rId6" Type="http://schemas.openxmlformats.org/officeDocument/2006/relationships/hyperlink" Target="https://robu.in/product/rp-lidar-a1m8-360-degrees-laser-range-finder/" TargetMode="External"/><Relationship Id="rId7" Type="http://schemas.openxmlformats.org/officeDocument/2006/relationships/hyperlink" Target="https://robu.in/product/1-month-warranty-524/" TargetMode="External"/><Relationship Id="rId8" Type="http://schemas.openxmlformats.org/officeDocument/2006/relationships/hyperlink" Target="https://robu.in/product/65mm-robot-smart-car-wheel-for-bo-motors-gre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>
      <c r="A2" s="1" t="s">
        <v>2</v>
      </c>
      <c r="B2" s="2"/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>
      <c r="A4" s="6" t="s">
        <v>4</v>
      </c>
      <c r="B4" s="6" t="s">
        <v>5</v>
      </c>
      <c r="C4" s="6" t="s">
        <v>6</v>
      </c>
      <c r="D4" s="6" t="s">
        <v>7</v>
      </c>
      <c r="E4" s="7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8" t="s">
        <v>18</v>
      </c>
      <c r="P4" s="8" t="s">
        <v>19</v>
      </c>
    </row>
    <row r="5">
      <c r="A5" s="9" t="s">
        <v>20</v>
      </c>
      <c r="B5" s="10"/>
      <c r="C5" s="10"/>
      <c r="D5" s="11"/>
      <c r="E5" s="10"/>
      <c r="F5" s="12">
        <f>sum(H6:H22)</f>
        <v>25200</v>
      </c>
      <c r="G5" s="13"/>
      <c r="H5" s="12">
        <f t="shared" ref="H5:L5" si="1">sum(J6:J22)</f>
        <v>40500</v>
      </c>
      <c r="I5" s="12">
        <f t="shared" si="1"/>
        <v>0</v>
      </c>
      <c r="J5" s="12">
        <f t="shared" si="1"/>
        <v>40500</v>
      </c>
      <c r="K5" s="12">
        <f t="shared" si="1"/>
        <v>0</v>
      </c>
      <c r="L5" s="12">
        <f t="shared" si="1"/>
        <v>40500</v>
      </c>
      <c r="M5" s="10"/>
      <c r="N5" s="14"/>
      <c r="O5" s="14"/>
      <c r="P5" s="14"/>
    </row>
    <row r="6">
      <c r="A6" s="15">
        <v>1.0</v>
      </c>
      <c r="B6" s="16" t="s">
        <v>21</v>
      </c>
      <c r="C6" s="16" t="s">
        <v>22</v>
      </c>
      <c r="D6" s="17" t="s">
        <v>23</v>
      </c>
      <c r="E6" s="18">
        <v>3000.0</v>
      </c>
      <c r="F6" s="19">
        <v>1.0</v>
      </c>
      <c r="G6" s="17" t="s">
        <v>24</v>
      </c>
      <c r="H6" s="20">
        <f t="shared" ref="H6:H17" si="2">if(G6="Yes",J6,0)</f>
        <v>3000</v>
      </c>
      <c r="I6" s="20">
        <f t="shared" ref="I6:I17" si="3">if(G6="No",J6,0)</f>
        <v>0</v>
      </c>
      <c r="J6" s="20">
        <f t="shared" ref="J6:J17" si="4">F6*E6</f>
        <v>3000</v>
      </c>
      <c r="K6" s="21">
        <f t="shared" ref="K6:K17" si="5">if(D6="Asset",(J6),0)</f>
        <v>0</v>
      </c>
      <c r="L6" s="21">
        <f t="shared" ref="L6:L17" si="6">if(D6="Reusable",(J6),0)</f>
        <v>3000</v>
      </c>
      <c r="M6" s="21">
        <f t="shared" ref="M6:M17" si="7">if(D6="Consumable",(J6),0)</f>
        <v>0</v>
      </c>
      <c r="N6" s="21">
        <f t="shared" ref="N6:N17" si="8">sum(K6:M6)</f>
        <v>3000</v>
      </c>
      <c r="O6" s="4"/>
      <c r="P6" s="22" t="s">
        <v>25</v>
      </c>
    </row>
    <row r="7">
      <c r="A7" s="15">
        <v>2.0</v>
      </c>
      <c r="B7" s="16" t="s">
        <v>26</v>
      </c>
      <c r="C7" s="16" t="s">
        <v>27</v>
      </c>
      <c r="D7" s="17" t="s">
        <v>23</v>
      </c>
      <c r="E7" s="18">
        <v>6500.0</v>
      </c>
      <c r="F7" s="23">
        <v>1.0</v>
      </c>
      <c r="G7" s="17" t="s">
        <v>24</v>
      </c>
      <c r="H7" s="20">
        <f t="shared" si="2"/>
        <v>6500</v>
      </c>
      <c r="I7" s="20">
        <f t="shared" si="3"/>
        <v>0</v>
      </c>
      <c r="J7" s="20">
        <f t="shared" si="4"/>
        <v>6500</v>
      </c>
      <c r="K7" s="21">
        <f t="shared" si="5"/>
        <v>0</v>
      </c>
      <c r="L7" s="21">
        <f t="shared" si="6"/>
        <v>6500</v>
      </c>
      <c r="M7" s="21">
        <f t="shared" si="7"/>
        <v>0</v>
      </c>
      <c r="N7" s="21">
        <f t="shared" si="8"/>
        <v>6500</v>
      </c>
      <c r="O7" s="4"/>
      <c r="P7" s="24" t="s">
        <v>25</v>
      </c>
    </row>
    <row r="8">
      <c r="A8" s="15">
        <v>3.0</v>
      </c>
      <c r="B8" s="16" t="s">
        <v>28</v>
      </c>
      <c r="C8" s="16" t="s">
        <v>29</v>
      </c>
      <c r="D8" s="17" t="s">
        <v>23</v>
      </c>
      <c r="E8" s="18">
        <v>2500.0</v>
      </c>
      <c r="F8" s="23">
        <v>1.0</v>
      </c>
      <c r="G8" s="25" t="s">
        <v>24</v>
      </c>
      <c r="H8" s="20">
        <f t="shared" si="2"/>
        <v>2500</v>
      </c>
      <c r="I8" s="20">
        <f t="shared" si="3"/>
        <v>0</v>
      </c>
      <c r="J8" s="20">
        <f t="shared" si="4"/>
        <v>2500</v>
      </c>
      <c r="K8" s="21">
        <f t="shared" si="5"/>
        <v>0</v>
      </c>
      <c r="L8" s="21">
        <f t="shared" si="6"/>
        <v>2500</v>
      </c>
      <c r="M8" s="21">
        <f t="shared" si="7"/>
        <v>0</v>
      </c>
      <c r="N8" s="21">
        <f t="shared" si="8"/>
        <v>2500</v>
      </c>
      <c r="O8" s="4"/>
      <c r="P8" s="26" t="s">
        <v>25</v>
      </c>
    </row>
    <row r="9">
      <c r="A9" s="15">
        <v>4.0</v>
      </c>
      <c r="B9" s="16" t="s">
        <v>30</v>
      </c>
      <c r="C9" s="16" t="s">
        <v>31</v>
      </c>
      <c r="D9" s="17" t="s">
        <v>23</v>
      </c>
      <c r="E9" s="18">
        <v>3000.0</v>
      </c>
      <c r="F9" s="23">
        <v>1.0</v>
      </c>
      <c r="G9" s="25" t="s">
        <v>32</v>
      </c>
      <c r="H9" s="20">
        <f t="shared" si="2"/>
        <v>0</v>
      </c>
      <c r="I9" s="20">
        <f t="shared" si="3"/>
        <v>3000</v>
      </c>
      <c r="J9" s="20">
        <f t="shared" si="4"/>
        <v>3000</v>
      </c>
      <c r="K9" s="21">
        <f t="shared" si="5"/>
        <v>0</v>
      </c>
      <c r="L9" s="21">
        <f t="shared" si="6"/>
        <v>3000</v>
      </c>
      <c r="M9" s="21">
        <f t="shared" si="7"/>
        <v>0</v>
      </c>
      <c r="N9" s="21">
        <f t="shared" si="8"/>
        <v>3000</v>
      </c>
      <c r="O9" s="4"/>
      <c r="P9" s="26" t="s">
        <v>25</v>
      </c>
    </row>
    <row r="10">
      <c r="A10" s="15">
        <v>5.0</v>
      </c>
      <c r="B10" s="16" t="s">
        <v>33</v>
      </c>
      <c r="C10" s="16" t="s">
        <v>34</v>
      </c>
      <c r="D10" s="17" t="s">
        <v>23</v>
      </c>
      <c r="E10" s="18">
        <v>9000.0</v>
      </c>
      <c r="F10" s="23">
        <v>1.0</v>
      </c>
      <c r="G10" s="17" t="s">
        <v>24</v>
      </c>
      <c r="H10" s="20">
        <f t="shared" si="2"/>
        <v>9000</v>
      </c>
      <c r="I10" s="20">
        <f t="shared" si="3"/>
        <v>0</v>
      </c>
      <c r="J10" s="20">
        <f t="shared" si="4"/>
        <v>9000</v>
      </c>
      <c r="K10" s="21">
        <f t="shared" si="5"/>
        <v>0</v>
      </c>
      <c r="L10" s="21">
        <f t="shared" si="6"/>
        <v>9000</v>
      </c>
      <c r="M10" s="21">
        <f t="shared" si="7"/>
        <v>0</v>
      </c>
      <c r="N10" s="21">
        <f t="shared" si="8"/>
        <v>9000</v>
      </c>
      <c r="O10" s="4"/>
      <c r="P10" s="27" t="s">
        <v>25</v>
      </c>
    </row>
    <row r="11">
      <c r="A11" s="15">
        <v>6.0</v>
      </c>
      <c r="B11" s="16" t="s">
        <v>35</v>
      </c>
      <c r="C11" s="16" t="s">
        <v>36</v>
      </c>
      <c r="D11" s="17" t="s">
        <v>23</v>
      </c>
      <c r="E11" s="18">
        <v>3000.0</v>
      </c>
      <c r="F11" s="23">
        <v>1.0</v>
      </c>
      <c r="G11" s="17" t="s">
        <v>24</v>
      </c>
      <c r="H11" s="20">
        <f t="shared" si="2"/>
        <v>3000</v>
      </c>
      <c r="I11" s="20">
        <f t="shared" si="3"/>
        <v>0</v>
      </c>
      <c r="J11" s="20">
        <f t="shared" si="4"/>
        <v>3000</v>
      </c>
      <c r="K11" s="21">
        <f t="shared" si="5"/>
        <v>0</v>
      </c>
      <c r="L11" s="21">
        <f t="shared" si="6"/>
        <v>3000</v>
      </c>
      <c r="M11" s="21">
        <f t="shared" si="7"/>
        <v>0</v>
      </c>
      <c r="N11" s="21">
        <f t="shared" si="8"/>
        <v>3000</v>
      </c>
      <c r="O11" s="4"/>
      <c r="P11" s="26" t="s">
        <v>25</v>
      </c>
    </row>
    <row r="12">
      <c r="A12" s="15">
        <v>7.0</v>
      </c>
      <c r="B12" s="16" t="s">
        <v>37</v>
      </c>
      <c r="C12" s="16" t="s">
        <v>38</v>
      </c>
      <c r="D12" s="17" t="s">
        <v>23</v>
      </c>
      <c r="E12" s="18">
        <v>1200.0</v>
      </c>
      <c r="F12" s="23">
        <v>1.0</v>
      </c>
      <c r="G12" s="25" t="s">
        <v>32</v>
      </c>
      <c r="H12" s="20">
        <f t="shared" si="2"/>
        <v>0</v>
      </c>
      <c r="I12" s="20">
        <f t="shared" si="3"/>
        <v>1200</v>
      </c>
      <c r="J12" s="20">
        <f t="shared" si="4"/>
        <v>1200</v>
      </c>
      <c r="K12" s="21">
        <f t="shared" si="5"/>
        <v>0</v>
      </c>
      <c r="L12" s="21">
        <f t="shared" si="6"/>
        <v>1200</v>
      </c>
      <c r="M12" s="21">
        <f t="shared" si="7"/>
        <v>0</v>
      </c>
      <c r="N12" s="21">
        <f t="shared" si="8"/>
        <v>1200</v>
      </c>
      <c r="O12" s="4"/>
      <c r="P12" s="26" t="s">
        <v>25</v>
      </c>
    </row>
    <row r="13">
      <c r="A13" s="15">
        <v>8.0</v>
      </c>
      <c r="B13" s="16" t="s">
        <v>39</v>
      </c>
      <c r="C13" s="16" t="s">
        <v>40</v>
      </c>
      <c r="D13" s="17" t="s">
        <v>23</v>
      </c>
      <c r="E13" s="18">
        <v>6000.0</v>
      </c>
      <c r="F13" s="19">
        <v>1.0</v>
      </c>
      <c r="G13" s="25" t="s">
        <v>32</v>
      </c>
      <c r="H13" s="20">
        <f t="shared" si="2"/>
        <v>0</v>
      </c>
      <c r="I13" s="20">
        <f t="shared" si="3"/>
        <v>6000</v>
      </c>
      <c r="J13" s="20">
        <f t="shared" si="4"/>
        <v>6000</v>
      </c>
      <c r="K13" s="21">
        <f t="shared" si="5"/>
        <v>0</v>
      </c>
      <c r="L13" s="21">
        <f t="shared" si="6"/>
        <v>6000</v>
      </c>
      <c r="M13" s="21">
        <f t="shared" si="7"/>
        <v>0</v>
      </c>
      <c r="N13" s="21">
        <f t="shared" si="8"/>
        <v>6000</v>
      </c>
      <c r="O13" s="4"/>
      <c r="P13" s="26" t="s">
        <v>41</v>
      </c>
    </row>
    <row r="14">
      <c r="A14" s="15">
        <v>9.0</v>
      </c>
      <c r="B14" s="16" t="s">
        <v>42</v>
      </c>
      <c r="C14" s="16" t="s">
        <v>43</v>
      </c>
      <c r="D14" s="17" t="s">
        <v>23</v>
      </c>
      <c r="E14" s="18">
        <v>800.0</v>
      </c>
      <c r="F14" s="23">
        <v>1.0</v>
      </c>
      <c r="G14" s="25" t="s">
        <v>32</v>
      </c>
      <c r="H14" s="20">
        <f t="shared" si="2"/>
        <v>0</v>
      </c>
      <c r="I14" s="20">
        <f t="shared" si="3"/>
        <v>800</v>
      </c>
      <c r="J14" s="20">
        <f t="shared" si="4"/>
        <v>800</v>
      </c>
      <c r="K14" s="21">
        <f t="shared" si="5"/>
        <v>0</v>
      </c>
      <c r="L14" s="21">
        <f t="shared" si="6"/>
        <v>800</v>
      </c>
      <c r="M14" s="21">
        <f t="shared" si="7"/>
        <v>0</v>
      </c>
      <c r="N14" s="21">
        <f t="shared" si="8"/>
        <v>800</v>
      </c>
      <c r="O14" s="4"/>
      <c r="P14" s="26" t="s">
        <v>25</v>
      </c>
    </row>
    <row r="15">
      <c r="A15" s="15">
        <v>10.0</v>
      </c>
      <c r="B15" s="16" t="s">
        <v>44</v>
      </c>
      <c r="C15" s="16" t="s">
        <v>45</v>
      </c>
      <c r="D15" s="17" t="s">
        <v>23</v>
      </c>
      <c r="E15" s="18">
        <v>3500.0</v>
      </c>
      <c r="F15" s="23">
        <v>1.0</v>
      </c>
      <c r="G15" s="25" t="s">
        <v>32</v>
      </c>
      <c r="H15" s="20">
        <f t="shared" si="2"/>
        <v>0</v>
      </c>
      <c r="I15" s="20">
        <f t="shared" si="3"/>
        <v>3500</v>
      </c>
      <c r="J15" s="20">
        <f t="shared" si="4"/>
        <v>3500</v>
      </c>
      <c r="K15" s="21">
        <f t="shared" si="5"/>
        <v>0</v>
      </c>
      <c r="L15" s="21">
        <f t="shared" si="6"/>
        <v>3500</v>
      </c>
      <c r="M15" s="21">
        <f t="shared" si="7"/>
        <v>0</v>
      </c>
      <c r="N15" s="21">
        <f t="shared" si="8"/>
        <v>3500</v>
      </c>
      <c r="O15" s="4"/>
      <c r="P15" s="26" t="s">
        <v>25</v>
      </c>
    </row>
    <row r="16">
      <c r="A16" s="15">
        <v>11.0</v>
      </c>
      <c r="B16" s="16" t="s">
        <v>46</v>
      </c>
      <c r="C16" s="16" t="s">
        <v>47</v>
      </c>
      <c r="D16" s="17" t="s">
        <v>23</v>
      </c>
      <c r="E16" s="18">
        <v>1200.0</v>
      </c>
      <c r="F16" s="23">
        <v>1.0</v>
      </c>
      <c r="G16" s="17" t="s">
        <v>24</v>
      </c>
      <c r="H16" s="20">
        <f t="shared" si="2"/>
        <v>1200</v>
      </c>
      <c r="I16" s="20">
        <f t="shared" si="3"/>
        <v>0</v>
      </c>
      <c r="J16" s="20">
        <f t="shared" si="4"/>
        <v>1200</v>
      </c>
      <c r="K16" s="21">
        <f t="shared" si="5"/>
        <v>0</v>
      </c>
      <c r="L16" s="21">
        <f t="shared" si="6"/>
        <v>1200</v>
      </c>
      <c r="M16" s="21">
        <f t="shared" si="7"/>
        <v>0</v>
      </c>
      <c r="N16" s="21">
        <f t="shared" si="8"/>
        <v>1200</v>
      </c>
      <c r="O16" s="4"/>
      <c r="P16" s="26" t="s">
        <v>25</v>
      </c>
    </row>
    <row r="17">
      <c r="A17" s="15">
        <v>12.0</v>
      </c>
      <c r="B17" s="16" t="s">
        <v>48</v>
      </c>
      <c r="C17" s="16" t="s">
        <v>49</v>
      </c>
      <c r="D17" s="17" t="s">
        <v>23</v>
      </c>
      <c r="E17" s="18">
        <v>800.0</v>
      </c>
      <c r="F17" s="23">
        <v>1.0</v>
      </c>
      <c r="G17" s="25" t="s">
        <v>32</v>
      </c>
      <c r="H17" s="20">
        <f t="shared" si="2"/>
        <v>0</v>
      </c>
      <c r="I17" s="20">
        <f t="shared" si="3"/>
        <v>800</v>
      </c>
      <c r="J17" s="20">
        <f t="shared" si="4"/>
        <v>800</v>
      </c>
      <c r="K17" s="21">
        <f t="shared" si="5"/>
        <v>0</v>
      </c>
      <c r="L17" s="21">
        <f t="shared" si="6"/>
        <v>800</v>
      </c>
      <c r="M17" s="21">
        <f t="shared" si="7"/>
        <v>0</v>
      </c>
      <c r="N17" s="21">
        <f t="shared" si="8"/>
        <v>800</v>
      </c>
      <c r="O17" s="4"/>
      <c r="P17" s="26" t="s">
        <v>25</v>
      </c>
    </row>
    <row r="23">
      <c r="A23" s="4"/>
      <c r="B23" s="4"/>
      <c r="C23" s="4"/>
      <c r="D23" s="4"/>
      <c r="E23" s="28"/>
      <c r="F23" s="15">
        <v>14.0</v>
      </c>
      <c r="G23" s="4"/>
      <c r="H23" s="4"/>
      <c r="I23" s="4"/>
      <c r="J23" s="4"/>
      <c r="K23" s="4"/>
      <c r="L23" s="4"/>
      <c r="M23" s="4"/>
      <c r="N23" s="4"/>
      <c r="O23" s="4"/>
      <c r="P23" s="5"/>
    </row>
    <row r="24">
      <c r="A24" s="4"/>
      <c r="B24" s="4"/>
      <c r="C24" s="29" t="s">
        <v>50</v>
      </c>
      <c r="D24" s="30">
        <f>H5</f>
        <v>40500</v>
      </c>
      <c r="E24" s="28"/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</row>
    <row r="25">
      <c r="A25" s="4"/>
      <c r="B25" s="4"/>
      <c r="C25" s="31" t="s">
        <v>51</v>
      </c>
      <c r="D25" s="30">
        <f>F5</f>
        <v>25200</v>
      </c>
      <c r="E25" s="28"/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</row>
    <row r="26">
      <c r="A26" s="4"/>
      <c r="B26" s="4"/>
      <c r="C26" s="31" t="s">
        <v>52</v>
      </c>
      <c r="D26" s="32" t="str">
        <f>G5</f>
        <v/>
      </c>
      <c r="E26" s="28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</row>
    <row r="27">
      <c r="A27" s="4"/>
      <c r="B27" s="4"/>
      <c r="C27" s="5"/>
      <c r="D27" s="32"/>
      <c r="E27" s="28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>
      <c r="A28" s="4"/>
      <c r="B28" s="4"/>
      <c r="C28" s="4"/>
      <c r="D28" s="4"/>
      <c r="E28" s="28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</row>
    <row r="29">
      <c r="A29" s="4"/>
      <c r="B29" s="4"/>
      <c r="C29" s="4"/>
      <c r="D29" s="4"/>
      <c r="E29" s="28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>
      <c r="A30" s="4"/>
      <c r="B30" s="4"/>
      <c r="C30" s="4"/>
      <c r="D30" s="4"/>
      <c r="E30" s="28"/>
      <c r="F30" s="4"/>
      <c r="G30" s="4"/>
      <c r="H30" s="4"/>
      <c r="I30" s="4"/>
      <c r="J30" s="4"/>
      <c r="K30" s="4"/>
      <c r="L30" s="4"/>
      <c r="M30" s="4"/>
      <c r="N30" s="4"/>
      <c r="O30" s="4"/>
      <c r="P30" s="5"/>
    </row>
    <row r="31">
      <c r="A31" s="5"/>
      <c r="B31" s="33" t="s">
        <v>53</v>
      </c>
      <c r="C31" s="33" t="s">
        <v>54</v>
      </c>
      <c r="D31" s="33" t="s">
        <v>55</v>
      </c>
      <c r="E31" s="34" t="s">
        <v>56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>
      <c r="A32" s="4"/>
      <c r="B32" s="35" t="s">
        <v>57</v>
      </c>
      <c r="C32" s="35" t="s">
        <v>57</v>
      </c>
      <c r="D32" s="35" t="s">
        <v>57</v>
      </c>
      <c r="E32" s="36" t="s">
        <v>58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>
      <c r="A33" s="4"/>
      <c r="B33" s="37" t="s">
        <v>59</v>
      </c>
      <c r="C33" s="37" t="s">
        <v>60</v>
      </c>
      <c r="D33" s="37" t="s">
        <v>61</v>
      </c>
      <c r="E33" s="36" t="s">
        <v>62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5"/>
    </row>
    <row r="34">
      <c r="A34" s="4"/>
      <c r="B34" s="38" t="b">
        <v>0</v>
      </c>
      <c r="C34" s="38" t="b">
        <v>0</v>
      </c>
      <c r="D34" s="38" t="b">
        <v>0</v>
      </c>
      <c r="E34" s="39" t="b"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5"/>
    </row>
    <row r="35">
      <c r="A35" s="4"/>
      <c r="B35" s="4"/>
      <c r="C35" s="4"/>
      <c r="D35" s="4"/>
      <c r="E35" s="28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</row>
    <row r="36">
      <c r="A36" s="4"/>
      <c r="B36" s="4"/>
      <c r="C36" s="4"/>
      <c r="D36" s="4"/>
      <c r="E36" s="28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>
      <c r="A37" s="4"/>
      <c r="B37" s="4"/>
      <c r="C37" s="4"/>
      <c r="D37" s="4"/>
      <c r="E37" s="28"/>
      <c r="F37" s="4"/>
      <c r="G37" s="4"/>
      <c r="H37" s="4"/>
      <c r="I37" s="4"/>
      <c r="J37" s="4"/>
      <c r="K37" s="4"/>
      <c r="L37" s="4"/>
      <c r="M37" s="4"/>
      <c r="N37" s="4"/>
      <c r="O37" s="4"/>
      <c r="P37" s="5"/>
    </row>
  </sheetData>
  <mergeCells count="2">
    <mergeCell ref="A1:B1"/>
    <mergeCell ref="A2:B2"/>
  </mergeCells>
  <dataValidations>
    <dataValidation type="list" allowBlank="1" sqref="D6:D17">
      <formula1>"Reusable,Consumable,Asset"</formula1>
    </dataValidation>
    <dataValidation type="list" allowBlank="1" sqref="G6:G17">
      <formula1>"Yes,No"</formula1>
    </dataValidation>
  </dataValidations>
  <hyperlinks>
    <hyperlink r:id="rId1" ref="P6"/>
    <hyperlink r:id="rId2" ref="P7"/>
    <hyperlink r:id="rId3" ref="P8"/>
    <hyperlink r:id="rId4" ref="P9"/>
    <hyperlink r:id="rId5" ref="P10"/>
    <hyperlink r:id="rId6" ref="P11"/>
    <hyperlink r:id="rId7" ref="P12"/>
    <hyperlink r:id="rId8" ref="P13"/>
    <hyperlink r:id="rId9" ref="P14"/>
    <hyperlink r:id="rId10" ref="P15"/>
    <hyperlink r:id="rId11" ref="P16"/>
    <hyperlink r:id="rId12" ref="P17"/>
  </hyperlinks>
  <drawing r:id="rId13"/>
</worksheet>
</file>